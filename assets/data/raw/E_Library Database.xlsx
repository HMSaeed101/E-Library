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y PC\Desktop\"/>
    </mc:Choice>
  </mc:AlternateContent>
  <xr:revisionPtr revIDLastSave="0" documentId="13_ncr:1_{D82B7084-0F13-4C4C-92F5-85253A502D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📚 Book Catalogue" sheetId="1" r:id="rId1"/>
    <sheet name="📊 Category Summary" sheetId="2" r:id="rId2"/>
    <sheet name="👤 Auth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B10" i="2"/>
</calcChain>
</file>

<file path=xl/sharedStrings.xml><?xml version="1.0" encoding="utf-8"?>
<sst xmlns="http://schemas.openxmlformats.org/spreadsheetml/2006/main" count="453" uniqueCount="218">
  <si>
    <t>E-LIBRARY DATABASE</t>
  </si>
  <si>
    <t>#</t>
  </si>
  <si>
    <t>Title</t>
  </si>
  <si>
    <t>Author</t>
  </si>
  <si>
    <t>Category</t>
  </si>
  <si>
    <t>Year</t>
  </si>
  <si>
    <t>Pages</t>
  </si>
  <si>
    <t>Rating</t>
  </si>
  <si>
    <t>Language</t>
  </si>
  <si>
    <t>Publisher</t>
  </si>
  <si>
    <t>ISBN</t>
  </si>
  <si>
    <t>Pub. Date</t>
  </si>
  <si>
    <t>Filename</t>
  </si>
  <si>
    <t>The Alchemist</t>
  </si>
  <si>
    <t>Paulo Coelho</t>
  </si>
  <si>
    <t>Fiction</t>
  </si>
  <si>
    <t>—</t>
  </si>
  <si>
    <t>Portuguese</t>
  </si>
  <si>
    <t>HarperOne</t>
  </si>
  <si>
    <t>978-0-06-231500-7</t>
  </si>
  <si>
    <t>Dec 18, 2014</t>
  </si>
  <si>
    <t>Alchemist.html</t>
  </si>
  <si>
    <t>Caliphate - History of an Idea</t>
  </si>
  <si>
    <t>Hugh Kennedy</t>
  </si>
  <si>
    <t>English</t>
  </si>
  <si>
    <t>Basic Books</t>
  </si>
  <si>
    <t>978-0465094387</t>
  </si>
  <si>
    <t>October 11, 2016</t>
  </si>
  <si>
    <t>Khalifate.html</t>
  </si>
  <si>
    <t>The Kite Runner</t>
  </si>
  <si>
    <t>Khaled Hosseini</t>
  </si>
  <si>
    <t>Riverhead Books</t>
  </si>
  <si>
    <t>May 29, 2003</t>
  </si>
  <si>
    <t>KiteRunner.html</t>
  </si>
  <si>
    <t>Animal Farm</t>
  </si>
  <si>
    <t>George Orwell</t>
  </si>
  <si>
    <t>Secker &amp; Warburg</t>
  </si>
  <si>
    <t>978-6-26-231556-7</t>
  </si>
  <si>
    <t>April 03, 2019</t>
  </si>
  <si>
    <t>animalfarm.html</t>
  </si>
  <si>
    <t>David Copperfield</t>
  </si>
  <si>
    <t>Charles Dickens</t>
  </si>
  <si>
    <t>Bradbury &amp; Evans</t>
  </si>
  <si>
    <t>14 November 1850</t>
  </si>
  <si>
    <t>david.html</t>
  </si>
  <si>
    <t>Reluctant Fundamentalist</t>
  </si>
  <si>
    <t>Mohsin Hamid</t>
  </si>
  <si>
    <t>Harvill Secker</t>
  </si>
  <si>
    <t>November 24, 2022</t>
  </si>
  <si>
    <t>fundamentalist.html</t>
  </si>
  <si>
    <t>Great Expectations</t>
  </si>
  <si>
    <t>Chapman &amp; Hall</t>
  </si>
  <si>
    <t>978-2-66-231580-7</t>
  </si>
  <si>
    <t>Jan 28, 2001</t>
  </si>
  <si>
    <t>greatexpectations.html</t>
  </si>
  <si>
    <t>The Hour of the Star</t>
  </si>
  <si>
    <t>Clarice Lispector</t>
  </si>
  <si>
    <t>New Directions</t>
  </si>
  <si>
    <t>hourofstar.html</t>
  </si>
  <si>
    <t>The Inheritance of Loss</t>
  </si>
  <si>
    <t>Kiran Desai</t>
  </si>
  <si>
    <t>Atlantic Monthly Press</t>
  </si>
  <si>
    <t>978-0802142818</t>
  </si>
  <si>
    <t>August 29, 2006</t>
  </si>
  <si>
    <t>kerandesai.html</t>
  </si>
  <si>
    <t>Paradise</t>
  </si>
  <si>
    <t>Abdulrazak Gurnah</t>
  </si>
  <si>
    <t>Hamish Hamilton</t>
  </si>
  <si>
    <t>paradise.html</t>
  </si>
  <si>
    <t>Persian Fire</t>
  </si>
  <si>
    <t>Tom Holland</t>
  </si>
  <si>
    <t>History</t>
  </si>
  <si>
    <t>November 23, 2020</t>
  </si>
  <si>
    <t>persia.html</t>
  </si>
  <si>
    <t>The Burnt Shadows</t>
  </si>
  <si>
    <t>Kamila Shamsie</t>
  </si>
  <si>
    <t>Bloomsbury</t>
  </si>
  <si>
    <t>June 1, 2016</t>
  </si>
  <si>
    <t>shadows.html</t>
  </si>
  <si>
    <t>The Swallows of Kabul</t>
  </si>
  <si>
    <t>Yasmina Khadra</t>
  </si>
  <si>
    <t>Vintage</t>
  </si>
  <si>
    <t>978-1400033768</t>
  </si>
  <si>
    <t>April 12, 2005</t>
  </si>
  <si>
    <t>swallows.html</t>
  </si>
  <si>
    <t>One Hundred Years of Solitude</t>
  </si>
  <si>
    <t>Gabriel García Márquez</t>
  </si>
  <si>
    <t>June 12, 2020</t>
  </si>
  <si>
    <t>yearsofsolitude.html</t>
  </si>
  <si>
    <t>No God but God</t>
  </si>
  <si>
    <t>Reza Aslan</t>
  </si>
  <si>
    <t>Random House Trade</t>
  </si>
  <si>
    <t>978-0812982442</t>
  </si>
  <si>
    <t>August 30, 2011</t>
  </si>
  <si>
    <t>God.html</t>
  </si>
  <si>
    <t>The Sealed Nectar</t>
  </si>
  <si>
    <t>Safiur Rahman Mubarakpuri</t>
  </si>
  <si>
    <t>Maktaba Darussalam</t>
  </si>
  <si>
    <t>578-7-16-665340-6</t>
  </si>
  <si>
    <t>April 06, 2017</t>
  </si>
  <si>
    <t>Sealed-Nectar.html</t>
  </si>
  <si>
    <t>Kingdom of Characters</t>
  </si>
  <si>
    <t>Jing Tsu</t>
  </si>
  <si>
    <t>characters.html</t>
  </si>
  <si>
    <t>Gulag</t>
  </si>
  <si>
    <t>Anne Applebaum</t>
  </si>
  <si>
    <t>Doubleday</t>
  </si>
  <si>
    <t>April 29, 2003</t>
  </si>
  <si>
    <t>gulag.html</t>
  </si>
  <si>
    <t>Guns, Germs and Steel</t>
  </si>
  <si>
    <t>Jared Diamond</t>
  </si>
  <si>
    <t>W. W. Norton</t>
  </si>
  <si>
    <t>978-0804781473</t>
  </si>
  <si>
    <t>May 22, 1997</t>
  </si>
  <si>
    <t>gum.html</t>
  </si>
  <si>
    <t>Jerusalem</t>
  </si>
  <si>
    <t>Simon Sebag Montefiore</t>
  </si>
  <si>
    <t>Weidenfeld &amp; Nicolson</t>
  </si>
  <si>
    <t>2011</t>
  </si>
  <si>
    <t>jerusalem.html</t>
  </si>
  <si>
    <t>The Silk Roads</t>
  </si>
  <si>
    <t>Peter Frankopan</t>
  </si>
  <si>
    <t>2015</t>
  </si>
  <si>
    <t>silkroad.html</t>
  </si>
  <si>
    <t>Art of War</t>
  </si>
  <si>
    <t>Sun Tzu</t>
  </si>
  <si>
    <t>Life and Values</t>
  </si>
  <si>
    <t>HMS Publications</t>
  </si>
  <si>
    <t>578-7-16-652410-0</t>
  </si>
  <si>
    <t>ArtofWar.html</t>
  </si>
  <si>
    <t>Reconstruction of Religious Thought</t>
  </si>
  <si>
    <t>Allama Muhammad Iqbal</t>
  </si>
  <si>
    <t>Stanford University Press</t>
  </si>
  <si>
    <t>2013</t>
  </si>
  <si>
    <t>allama.html</t>
  </si>
  <si>
    <t>Masnavi of Rumi</t>
  </si>
  <si>
    <t>Alan Williams</t>
  </si>
  <si>
    <t>masnavi.html</t>
  </si>
  <si>
    <t>Al Muqaddimah</t>
  </si>
  <si>
    <t>Ibn Khaldun</t>
  </si>
  <si>
    <t>muqaddimah.html</t>
  </si>
  <si>
    <t>Nahj al-Balagha</t>
  </si>
  <si>
    <t>Al-Sayyid al-Radi</t>
  </si>
  <si>
    <t>Arabic</t>
  </si>
  <si>
    <t>978-1-879402-34-8</t>
  </si>
  <si>
    <t>Feb 18, 1957</t>
  </si>
  <si>
    <t>nahjulbalagah.html</t>
  </si>
  <si>
    <t>SPQR: A History of Ancient Rome</t>
  </si>
  <si>
    <t>Mary Beard</t>
  </si>
  <si>
    <t>Liveright Publishing</t>
  </si>
  <si>
    <t>spqr.html</t>
  </si>
  <si>
    <t>A Personal History</t>
  </si>
  <si>
    <t>Imran Khan</t>
  </si>
  <si>
    <t>Non-Fiction</t>
  </si>
  <si>
    <t>Bantam Press</t>
  </si>
  <si>
    <t>imran.html</t>
  </si>
  <si>
    <t>The Holy Quran</t>
  </si>
  <si>
    <t>Allah Almighty</t>
  </si>
  <si>
    <t>Other</t>
  </si>
  <si>
    <t>Taj Company Limited</t>
  </si>
  <si>
    <t>978-3-16-148410-0</t>
  </si>
  <si>
    <t>March 15, 2018</t>
  </si>
  <si>
    <t>HolyQuran.html</t>
  </si>
  <si>
    <t>The Master and Margarita</t>
  </si>
  <si>
    <t>Mikhail Bulgakov</t>
  </si>
  <si>
    <t>Vintage International</t>
  </si>
  <si>
    <t>978-0679760801</t>
  </si>
  <si>
    <t>March 19, 1996</t>
  </si>
  <si>
    <t>MasterMargrita.html</t>
  </si>
  <si>
    <t>Mayombe</t>
  </si>
  <si>
    <t>Pepetela</t>
  </si>
  <si>
    <t>Jan 23, 2013</t>
  </si>
  <si>
    <t>Mayombe.html</t>
  </si>
  <si>
    <t>City of Brass</t>
  </si>
  <si>
    <t>S. A. Chakraborty</t>
  </si>
  <si>
    <t>Harper Voyager</t>
  </si>
  <si>
    <t>978-0-06-267810-2</t>
  </si>
  <si>
    <t>November 14, 2017</t>
  </si>
  <si>
    <t>brass.html</t>
  </si>
  <si>
    <t>Study of Languages</t>
  </si>
  <si>
    <t>George Yule</t>
  </si>
  <si>
    <t>Cambridge University Press</t>
  </si>
  <si>
    <t>978-1009233408</t>
  </si>
  <si>
    <t>November 10, 2022</t>
  </si>
  <si>
    <t>language.html</t>
  </si>
  <si>
    <t>Ottoman Empire</t>
  </si>
  <si>
    <t>Halil Inalcik</t>
  </si>
  <si>
    <t>ottoman.html</t>
  </si>
  <si>
    <t>The Elegant Universe</t>
  </si>
  <si>
    <t>Brian Greene</t>
  </si>
  <si>
    <t>Science</t>
  </si>
  <si>
    <t>W. W. Norton &amp; Company</t>
  </si>
  <si>
    <t>February 1, 1999</t>
  </si>
  <si>
    <t>elegenteuniverse.html</t>
  </si>
  <si>
    <t>Magical Thinking</t>
  </si>
  <si>
    <t>Joan Didion</t>
  </si>
  <si>
    <t>Alfred A. Knopf</t>
  </si>
  <si>
    <t>978-1594630873</t>
  </si>
  <si>
    <t>October 4, 2005</t>
  </si>
  <si>
    <t>magicalthinking.html</t>
  </si>
  <si>
    <t>On the Origin of Species</t>
  </si>
  <si>
    <t>Charles Darwin</t>
  </si>
  <si>
    <t>John Murray</t>
  </si>
  <si>
    <t>978-0451529060</t>
  </si>
  <si>
    <t>November 24, 1859</t>
  </si>
  <si>
    <t>origin.html</t>
  </si>
  <si>
    <t>CATEGORY SUMMARY</t>
  </si>
  <si>
    <t>Books</t>
  </si>
  <si>
    <t>Avg Rating</t>
  </si>
  <si>
    <t>Min Rating</t>
  </si>
  <si>
    <t>Max Rating</t>
  </si>
  <si>
    <t>Languages</t>
  </si>
  <si>
    <t>English, Portuguese</t>
  </si>
  <si>
    <t>Arabic, English</t>
  </si>
  <si>
    <t>TOTAL</t>
  </si>
  <si>
    <t>AUTHORS INDEX</t>
  </si>
  <si>
    <t>Title(s)</t>
  </si>
  <si>
    <t>David Copperfield; Great Expectations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</si>
</sst>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i/>
      <sz val="10"/>
      <color rgb="FFFFFFFF"/>
      <name val="Arial"/>
    </font>
    <font>
      <b/>
      <sz val="10"/>
      <color rgb="FFFFFFFF"/>
      <name val="Arial"/>
    </font>
    <font>
      <sz val="9"/>
      <color rgb="FF1A1A1A"/>
      <name val="Arial"/>
    </font>
    <font>
      <b/>
      <sz val="9"/>
      <color rgb="FF555555"/>
      <name val="Arial"/>
    </font>
    <font>
      <b/>
      <sz val="16"/>
      <color rgb="FFFFFFFF"/>
      <name val="Arial"/>
    </font>
    <font>
      <sz val="10"/>
      <color rgb="FF1A1A1A"/>
      <name val="Arial"/>
    </font>
    <font>
      <b/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EDE7F6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zoomScale="122" workbookViewId="0">
      <pane ySplit="3" topLeftCell="A4" activePane="bottomLeft" state="frozen"/>
      <selection pane="bottomLeft" activeCell="J35" sqref="J35"/>
    </sheetView>
  </sheetViews>
  <sheetFormatPr defaultRowHeight="15" x14ac:dyDescent="0.25"/>
  <cols>
    <col min="1" max="1" width="4" customWidth="1"/>
    <col min="2" max="2" width="34" customWidth="1"/>
    <col min="3" max="3" width="24" customWidth="1"/>
    <col min="4" max="4" width="16" customWidth="1"/>
    <col min="5" max="5" width="6" customWidth="1"/>
    <col min="6" max="7" width="7" customWidth="1"/>
    <col min="8" max="8" width="12" customWidth="1"/>
    <col min="9" max="9" width="26" customWidth="1"/>
    <col min="10" max="10" width="20" customWidth="1"/>
    <col min="11" max="11" width="18" customWidth="1"/>
    <col min="12" max="12" width="22" customWidth="1"/>
  </cols>
  <sheetData>
    <row r="1" spans="1:12" ht="36" customHeight="1" x14ac:dyDescent="0.25">
      <c r="A1" s="36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2" ht="20.100000000000001" customHeight="1" x14ac:dyDescent="0.25">
      <c r="A2" s="34" t="str">
        <f>_xlfn.SINGLE(_xlfn.CONCAT("Total Books: ", COUNTA(C3:C999), "   |   Categories: Fiction · History · Life and Values · Non-Fiction · Science · Other"))</f>
        <v>Total Books: 38   |   Categories: Fiction · History · Life and Values · Non-Fiction · Science · Other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ht="27.9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ht="18" customHeight="1" x14ac:dyDescent="0.25">
      <c r="A4" s="2">
        <v>1</v>
      </c>
      <c r="B4" s="38" t="s">
        <v>13</v>
      </c>
      <c r="C4" s="4" t="s">
        <v>14</v>
      </c>
      <c r="D4" s="4" t="s">
        <v>15</v>
      </c>
      <c r="E4" s="4" t="s">
        <v>16</v>
      </c>
      <c r="F4" s="4">
        <v>208</v>
      </c>
      <c r="G4" s="4">
        <v>4.99</v>
      </c>
      <c r="H4" s="4" t="s">
        <v>17</v>
      </c>
      <c r="I4" s="4" t="s">
        <v>18</v>
      </c>
      <c r="J4" s="4" t="s">
        <v>19</v>
      </c>
      <c r="K4" s="38" t="s">
        <v>20</v>
      </c>
      <c r="L4" s="4" t="s">
        <v>21</v>
      </c>
    </row>
    <row r="5" spans="1:12" ht="18" customHeight="1" x14ac:dyDescent="0.25">
      <c r="A5" s="5">
        <v>2</v>
      </c>
      <c r="B5" s="39" t="s">
        <v>22</v>
      </c>
      <c r="C5" s="7" t="s">
        <v>23</v>
      </c>
      <c r="D5" s="7" t="s">
        <v>15</v>
      </c>
      <c r="E5" s="7">
        <v>2016</v>
      </c>
      <c r="F5" s="7">
        <v>336</v>
      </c>
      <c r="G5" s="7">
        <v>3.95</v>
      </c>
      <c r="H5" s="7" t="s">
        <v>24</v>
      </c>
      <c r="I5" s="7" t="s">
        <v>25</v>
      </c>
      <c r="J5" s="7" t="s">
        <v>26</v>
      </c>
      <c r="K5" s="39" t="s">
        <v>27</v>
      </c>
      <c r="L5" s="7" t="s">
        <v>28</v>
      </c>
    </row>
    <row r="6" spans="1:12" ht="18" customHeight="1" x14ac:dyDescent="0.25">
      <c r="A6" s="2">
        <v>3</v>
      </c>
      <c r="B6" s="38" t="s">
        <v>29</v>
      </c>
      <c r="C6" s="4" t="s">
        <v>30</v>
      </c>
      <c r="D6" s="4" t="s">
        <v>15</v>
      </c>
      <c r="E6" s="4" t="s">
        <v>16</v>
      </c>
      <c r="F6" s="4">
        <v>371</v>
      </c>
      <c r="G6" s="4">
        <v>4.3</v>
      </c>
      <c r="H6" s="4" t="s">
        <v>24</v>
      </c>
      <c r="I6" s="4" t="s">
        <v>31</v>
      </c>
      <c r="J6" s="4" t="s">
        <v>19</v>
      </c>
      <c r="K6" s="38" t="s">
        <v>32</v>
      </c>
      <c r="L6" s="4" t="s">
        <v>33</v>
      </c>
    </row>
    <row r="7" spans="1:12" ht="18" customHeight="1" x14ac:dyDescent="0.25">
      <c r="A7" s="5">
        <v>4</v>
      </c>
      <c r="B7" s="39" t="s">
        <v>34</v>
      </c>
      <c r="C7" s="7" t="s">
        <v>35</v>
      </c>
      <c r="D7" s="7" t="s">
        <v>15</v>
      </c>
      <c r="E7" s="7">
        <v>1945</v>
      </c>
      <c r="F7" s="7">
        <v>112</v>
      </c>
      <c r="G7" s="7">
        <v>4.4800000000000004</v>
      </c>
      <c r="H7" s="7" t="s">
        <v>24</v>
      </c>
      <c r="I7" s="7" t="s">
        <v>36</v>
      </c>
      <c r="J7" s="7" t="s">
        <v>37</v>
      </c>
      <c r="K7" s="39" t="s">
        <v>38</v>
      </c>
      <c r="L7" s="7" t="s">
        <v>39</v>
      </c>
    </row>
    <row r="8" spans="1:12" ht="18" customHeight="1" x14ac:dyDescent="0.25">
      <c r="A8" s="2">
        <v>5</v>
      </c>
      <c r="B8" s="38" t="s">
        <v>40</v>
      </c>
      <c r="C8" s="4" t="s">
        <v>41</v>
      </c>
      <c r="D8" s="4" t="s">
        <v>15</v>
      </c>
      <c r="E8" s="4">
        <v>1850</v>
      </c>
      <c r="F8" s="4">
        <v>2700</v>
      </c>
      <c r="G8" s="4">
        <v>4.9000000000000004</v>
      </c>
      <c r="H8" s="4" t="s">
        <v>24</v>
      </c>
      <c r="I8" s="4" t="s">
        <v>42</v>
      </c>
      <c r="J8" s="4" t="s">
        <v>19</v>
      </c>
      <c r="K8" s="38" t="s">
        <v>43</v>
      </c>
      <c r="L8" s="4" t="s">
        <v>44</v>
      </c>
    </row>
    <row r="9" spans="1:12" ht="18" customHeight="1" x14ac:dyDescent="0.25">
      <c r="A9" s="5">
        <v>6</v>
      </c>
      <c r="B9" s="39" t="s">
        <v>45</v>
      </c>
      <c r="C9" s="7" t="s">
        <v>46</v>
      </c>
      <c r="D9" s="7" t="s">
        <v>15</v>
      </c>
      <c r="E9" s="7" t="s">
        <v>16</v>
      </c>
      <c r="F9" s="7">
        <v>182</v>
      </c>
      <c r="G9" s="7">
        <v>3.91</v>
      </c>
      <c r="H9" s="7" t="s">
        <v>24</v>
      </c>
      <c r="I9" s="7" t="s">
        <v>47</v>
      </c>
      <c r="J9" s="7" t="s">
        <v>19</v>
      </c>
      <c r="K9" s="39" t="s">
        <v>48</v>
      </c>
      <c r="L9" s="7" t="s">
        <v>49</v>
      </c>
    </row>
    <row r="10" spans="1:12" ht="18" customHeight="1" x14ac:dyDescent="0.25">
      <c r="A10" s="2">
        <v>7</v>
      </c>
      <c r="B10" s="38" t="s">
        <v>50</v>
      </c>
      <c r="C10" s="4" t="s">
        <v>41</v>
      </c>
      <c r="D10" s="4" t="s">
        <v>15</v>
      </c>
      <c r="E10" s="4">
        <v>1861</v>
      </c>
      <c r="F10" s="4">
        <v>550</v>
      </c>
      <c r="G10" s="4">
        <v>4.3</v>
      </c>
      <c r="H10" s="4" t="s">
        <v>24</v>
      </c>
      <c r="I10" s="4" t="s">
        <v>51</v>
      </c>
      <c r="J10" s="4" t="s">
        <v>52</v>
      </c>
      <c r="K10" s="38" t="s">
        <v>53</v>
      </c>
      <c r="L10" s="4" t="s">
        <v>54</v>
      </c>
    </row>
    <row r="11" spans="1:12" ht="18" customHeight="1" x14ac:dyDescent="0.25">
      <c r="A11" s="5">
        <v>8</v>
      </c>
      <c r="B11" s="39" t="s">
        <v>55</v>
      </c>
      <c r="C11" s="7" t="s">
        <v>56</v>
      </c>
      <c r="D11" s="7" t="s">
        <v>15</v>
      </c>
      <c r="E11" s="7" t="s">
        <v>16</v>
      </c>
      <c r="F11" s="7">
        <v>96</v>
      </c>
      <c r="G11" s="7">
        <v>4.0999999999999996</v>
      </c>
      <c r="H11" s="7" t="s">
        <v>17</v>
      </c>
      <c r="I11" s="7" t="s">
        <v>57</v>
      </c>
      <c r="J11" s="7" t="s">
        <v>19</v>
      </c>
      <c r="K11" s="39" t="s">
        <v>20</v>
      </c>
      <c r="L11" s="7" t="s">
        <v>58</v>
      </c>
    </row>
    <row r="12" spans="1:12" ht="18" customHeight="1" x14ac:dyDescent="0.25">
      <c r="A12" s="2">
        <v>9</v>
      </c>
      <c r="B12" s="38" t="s">
        <v>59</v>
      </c>
      <c r="C12" s="4" t="s">
        <v>60</v>
      </c>
      <c r="D12" s="4" t="s">
        <v>15</v>
      </c>
      <c r="E12" s="4" t="s">
        <v>16</v>
      </c>
      <c r="F12" s="4">
        <v>357</v>
      </c>
      <c r="G12" s="4">
        <v>3.46</v>
      </c>
      <c r="H12" s="4" t="s">
        <v>24</v>
      </c>
      <c r="I12" s="4" t="s">
        <v>61</v>
      </c>
      <c r="J12" s="4" t="s">
        <v>62</v>
      </c>
      <c r="K12" s="38" t="s">
        <v>63</v>
      </c>
      <c r="L12" s="4" t="s">
        <v>64</v>
      </c>
    </row>
    <row r="13" spans="1:12" ht="18" customHeight="1" x14ac:dyDescent="0.25">
      <c r="A13" s="5">
        <v>10</v>
      </c>
      <c r="B13" s="39" t="s">
        <v>65</v>
      </c>
      <c r="C13" s="7" t="s">
        <v>66</v>
      </c>
      <c r="D13" s="7" t="s">
        <v>15</v>
      </c>
      <c r="E13" s="7" t="s">
        <v>16</v>
      </c>
      <c r="F13" s="7">
        <v>256</v>
      </c>
      <c r="G13" s="7">
        <v>3.7</v>
      </c>
      <c r="H13" s="7" t="s">
        <v>24</v>
      </c>
      <c r="I13" s="7" t="s">
        <v>67</v>
      </c>
      <c r="J13" s="7" t="s">
        <v>19</v>
      </c>
      <c r="K13" s="39" t="s">
        <v>20</v>
      </c>
      <c r="L13" s="7" t="s">
        <v>68</v>
      </c>
    </row>
    <row r="14" spans="1:12" ht="18" customHeight="1" x14ac:dyDescent="0.25">
      <c r="A14" s="2">
        <v>11</v>
      </c>
      <c r="B14" s="38" t="s">
        <v>69</v>
      </c>
      <c r="C14" s="4" t="s">
        <v>70</v>
      </c>
      <c r="D14" s="4" t="s">
        <v>71</v>
      </c>
      <c r="E14" s="4">
        <v>2005</v>
      </c>
      <c r="F14" s="4">
        <v>464</v>
      </c>
      <c r="G14" s="4">
        <v>4.16</v>
      </c>
      <c r="H14" s="4" t="s">
        <v>24</v>
      </c>
      <c r="I14" s="4" t="s">
        <v>31</v>
      </c>
      <c r="J14" s="4" t="s">
        <v>19</v>
      </c>
      <c r="K14" s="38" t="s">
        <v>72</v>
      </c>
      <c r="L14" s="4" t="s">
        <v>73</v>
      </c>
    </row>
    <row r="15" spans="1:12" ht="18" customHeight="1" x14ac:dyDescent="0.25">
      <c r="A15" s="5">
        <v>12</v>
      </c>
      <c r="B15" s="39" t="s">
        <v>74</v>
      </c>
      <c r="C15" s="7" t="s">
        <v>75</v>
      </c>
      <c r="D15" s="7" t="s">
        <v>15</v>
      </c>
      <c r="E15" s="7" t="s">
        <v>16</v>
      </c>
      <c r="F15" s="7">
        <v>480</v>
      </c>
      <c r="G15" s="7">
        <v>4.2</v>
      </c>
      <c r="H15" s="7" t="s">
        <v>24</v>
      </c>
      <c r="I15" s="7" t="s">
        <v>76</v>
      </c>
      <c r="J15" s="7" t="s">
        <v>19</v>
      </c>
      <c r="K15" s="39" t="s">
        <v>77</v>
      </c>
      <c r="L15" s="7" t="s">
        <v>78</v>
      </c>
    </row>
    <row r="16" spans="1:12" ht="18" customHeight="1" x14ac:dyDescent="0.25">
      <c r="A16" s="2">
        <v>13</v>
      </c>
      <c r="B16" s="38" t="s">
        <v>79</v>
      </c>
      <c r="C16" s="4" t="s">
        <v>80</v>
      </c>
      <c r="D16" s="4" t="s">
        <v>15</v>
      </c>
      <c r="E16" s="4" t="s">
        <v>16</v>
      </c>
      <c r="F16" s="4">
        <v>195</v>
      </c>
      <c r="G16" s="4">
        <v>3.69</v>
      </c>
      <c r="H16" s="4" t="s">
        <v>24</v>
      </c>
      <c r="I16" s="4" t="s">
        <v>81</v>
      </c>
      <c r="J16" s="4" t="s">
        <v>82</v>
      </c>
      <c r="K16" s="38" t="s">
        <v>83</v>
      </c>
      <c r="L16" s="4" t="s">
        <v>84</v>
      </c>
    </row>
    <row r="17" spans="1:12" ht="18" customHeight="1" x14ac:dyDescent="0.25">
      <c r="A17" s="5">
        <v>14</v>
      </c>
      <c r="B17" s="39" t="s">
        <v>85</v>
      </c>
      <c r="C17" s="7" t="s">
        <v>86</v>
      </c>
      <c r="D17" s="7" t="s">
        <v>15</v>
      </c>
      <c r="E17" s="7">
        <v>1967</v>
      </c>
      <c r="F17" s="7">
        <v>430</v>
      </c>
      <c r="G17" s="7">
        <v>4.2</v>
      </c>
      <c r="H17" s="7" t="s">
        <v>24</v>
      </c>
      <c r="I17" s="7" t="s">
        <v>18</v>
      </c>
      <c r="J17" s="7" t="s">
        <v>19</v>
      </c>
      <c r="K17" s="39" t="s">
        <v>87</v>
      </c>
      <c r="L17" s="7" t="s">
        <v>88</v>
      </c>
    </row>
    <row r="18" spans="1:12" ht="18" customHeight="1" x14ac:dyDescent="0.25">
      <c r="A18" s="2">
        <v>15</v>
      </c>
      <c r="B18" s="38" t="s">
        <v>89</v>
      </c>
      <c r="C18" s="4" t="s">
        <v>90</v>
      </c>
      <c r="D18" s="4" t="s">
        <v>71</v>
      </c>
      <c r="E18" s="4">
        <v>2011</v>
      </c>
      <c r="F18" s="4">
        <v>384</v>
      </c>
      <c r="G18" s="4">
        <v>4.12</v>
      </c>
      <c r="H18" s="4" t="s">
        <v>24</v>
      </c>
      <c r="I18" s="4" t="s">
        <v>91</v>
      </c>
      <c r="J18" s="4" t="s">
        <v>92</v>
      </c>
      <c r="K18" s="38" t="s">
        <v>93</v>
      </c>
      <c r="L18" s="4" t="s">
        <v>94</v>
      </c>
    </row>
    <row r="19" spans="1:12" ht="18" customHeight="1" x14ac:dyDescent="0.25">
      <c r="A19" s="8">
        <v>16</v>
      </c>
      <c r="B19" s="40" t="s">
        <v>95</v>
      </c>
      <c r="C19" s="9" t="s">
        <v>96</v>
      </c>
      <c r="D19" s="9" t="s">
        <v>71</v>
      </c>
      <c r="E19" s="9">
        <v>1976</v>
      </c>
      <c r="F19" s="9">
        <v>656</v>
      </c>
      <c r="G19" s="9">
        <v>4.9000000000000004</v>
      </c>
      <c r="H19" s="9" t="s">
        <v>24</v>
      </c>
      <c r="I19" s="9" t="s">
        <v>97</v>
      </c>
      <c r="J19" s="9" t="s">
        <v>98</v>
      </c>
      <c r="K19" s="40" t="s">
        <v>99</v>
      </c>
      <c r="L19" s="9" t="s">
        <v>100</v>
      </c>
    </row>
    <row r="20" spans="1:12" ht="18" customHeight="1" x14ac:dyDescent="0.25">
      <c r="A20" s="2">
        <v>17</v>
      </c>
      <c r="B20" s="38" t="s">
        <v>101</v>
      </c>
      <c r="C20" s="4" t="s">
        <v>102</v>
      </c>
      <c r="D20" s="4" t="s">
        <v>71</v>
      </c>
      <c r="E20" s="4">
        <v>2022</v>
      </c>
      <c r="F20" s="4">
        <v>336</v>
      </c>
      <c r="G20" s="4">
        <v>3.85</v>
      </c>
      <c r="H20" s="4" t="s">
        <v>24</v>
      </c>
      <c r="I20" s="4" t="s">
        <v>31</v>
      </c>
      <c r="J20" s="4" t="s">
        <v>19</v>
      </c>
      <c r="K20" s="38" t="s">
        <v>72</v>
      </c>
      <c r="L20" s="4" t="s">
        <v>103</v>
      </c>
    </row>
    <row r="21" spans="1:12" ht="18" customHeight="1" x14ac:dyDescent="0.25">
      <c r="A21" s="8">
        <v>18</v>
      </c>
      <c r="B21" s="40" t="s">
        <v>104</v>
      </c>
      <c r="C21" s="9" t="s">
        <v>105</v>
      </c>
      <c r="D21" s="9" t="s">
        <v>71</v>
      </c>
      <c r="E21" s="9">
        <v>2003</v>
      </c>
      <c r="F21" s="9">
        <v>720</v>
      </c>
      <c r="G21" s="9">
        <v>4.3</v>
      </c>
      <c r="H21" s="9" t="s">
        <v>24</v>
      </c>
      <c r="I21" s="9" t="s">
        <v>106</v>
      </c>
      <c r="J21" s="9" t="s">
        <v>19</v>
      </c>
      <c r="K21" s="40" t="s">
        <v>107</v>
      </c>
      <c r="L21" s="9" t="s">
        <v>108</v>
      </c>
    </row>
    <row r="22" spans="1:12" ht="18" customHeight="1" x14ac:dyDescent="0.25">
      <c r="A22" s="2">
        <v>19</v>
      </c>
      <c r="B22" s="38" t="s">
        <v>109</v>
      </c>
      <c r="C22" s="4" t="s">
        <v>110</v>
      </c>
      <c r="D22" s="4" t="s">
        <v>71</v>
      </c>
      <c r="E22" s="4">
        <v>1997</v>
      </c>
      <c r="F22" s="4">
        <v>328</v>
      </c>
      <c r="G22" s="4">
        <v>4.28</v>
      </c>
      <c r="H22" s="4" t="s">
        <v>24</v>
      </c>
      <c r="I22" s="4" t="s">
        <v>111</v>
      </c>
      <c r="J22" s="4" t="s">
        <v>112</v>
      </c>
      <c r="K22" s="38" t="s">
        <v>113</v>
      </c>
      <c r="L22" s="4" t="s">
        <v>114</v>
      </c>
    </row>
    <row r="23" spans="1:12" ht="18" customHeight="1" x14ac:dyDescent="0.25">
      <c r="A23" s="8">
        <v>20</v>
      </c>
      <c r="B23" s="40" t="s">
        <v>115</v>
      </c>
      <c r="C23" s="9" t="s">
        <v>116</v>
      </c>
      <c r="D23" s="9" t="s">
        <v>71</v>
      </c>
      <c r="E23" s="9">
        <v>2011</v>
      </c>
      <c r="F23" s="9">
        <v>672</v>
      </c>
      <c r="G23" s="9">
        <v>4.28</v>
      </c>
      <c r="H23" s="9" t="s">
        <v>24</v>
      </c>
      <c r="I23" s="9" t="s">
        <v>117</v>
      </c>
      <c r="J23" s="9" t="s">
        <v>112</v>
      </c>
      <c r="K23" s="40" t="s">
        <v>118</v>
      </c>
      <c r="L23" s="9" t="s">
        <v>119</v>
      </c>
    </row>
    <row r="24" spans="1:12" ht="18" customHeight="1" x14ac:dyDescent="0.25">
      <c r="A24" s="2">
        <v>21</v>
      </c>
      <c r="B24" s="38" t="s">
        <v>120</v>
      </c>
      <c r="C24" s="4" t="s">
        <v>121</v>
      </c>
      <c r="D24" s="4" t="s">
        <v>71</v>
      </c>
      <c r="E24" s="4">
        <v>2015</v>
      </c>
      <c r="F24" s="4">
        <v>390</v>
      </c>
      <c r="G24" s="4">
        <v>4.28</v>
      </c>
      <c r="H24" s="4" t="s">
        <v>24</v>
      </c>
      <c r="I24" s="4" t="s">
        <v>76</v>
      </c>
      <c r="J24" s="4" t="s">
        <v>112</v>
      </c>
      <c r="K24" s="38" t="s">
        <v>122</v>
      </c>
      <c r="L24" s="4" t="s">
        <v>123</v>
      </c>
    </row>
    <row r="25" spans="1:12" ht="18" customHeight="1" x14ac:dyDescent="0.25">
      <c r="A25" s="10">
        <v>22</v>
      </c>
      <c r="B25" s="41" t="s">
        <v>124</v>
      </c>
      <c r="C25" s="11" t="s">
        <v>125</v>
      </c>
      <c r="D25" s="11" t="s">
        <v>126</v>
      </c>
      <c r="E25" s="11" t="s">
        <v>16</v>
      </c>
      <c r="F25" s="11">
        <v>100</v>
      </c>
      <c r="G25" s="11">
        <v>4.8</v>
      </c>
      <c r="H25" s="11" t="s">
        <v>24</v>
      </c>
      <c r="I25" s="11" t="s">
        <v>127</v>
      </c>
      <c r="J25" s="11" t="s">
        <v>128</v>
      </c>
      <c r="K25" s="41" t="s">
        <v>99</v>
      </c>
      <c r="L25" s="11" t="s">
        <v>129</v>
      </c>
    </row>
    <row r="26" spans="1:12" ht="18" customHeight="1" x14ac:dyDescent="0.25">
      <c r="A26" s="2">
        <v>23</v>
      </c>
      <c r="B26" s="38" t="s">
        <v>130</v>
      </c>
      <c r="C26" s="4" t="s">
        <v>131</v>
      </c>
      <c r="D26" s="4" t="s">
        <v>126</v>
      </c>
      <c r="E26" s="4">
        <v>1930</v>
      </c>
      <c r="F26" s="4">
        <v>328</v>
      </c>
      <c r="G26" s="4">
        <v>4.28</v>
      </c>
      <c r="H26" s="4" t="s">
        <v>24</v>
      </c>
      <c r="I26" s="4" t="s">
        <v>132</v>
      </c>
      <c r="J26" s="4" t="s">
        <v>112</v>
      </c>
      <c r="K26" s="38" t="s">
        <v>133</v>
      </c>
      <c r="L26" s="4" t="s">
        <v>134</v>
      </c>
    </row>
    <row r="27" spans="1:12" ht="18" customHeight="1" x14ac:dyDescent="0.25">
      <c r="A27" s="10">
        <v>24</v>
      </c>
      <c r="B27" s="41" t="s">
        <v>135</v>
      </c>
      <c r="C27" s="11" t="s">
        <v>136</v>
      </c>
      <c r="D27" s="11" t="s">
        <v>126</v>
      </c>
      <c r="E27" s="11">
        <v>2010</v>
      </c>
      <c r="F27" s="11">
        <v>650</v>
      </c>
      <c r="G27" s="11">
        <v>4.0999999999999996</v>
      </c>
      <c r="H27" s="11" t="s">
        <v>24</v>
      </c>
      <c r="I27" s="11" t="s">
        <v>18</v>
      </c>
      <c r="J27" s="11" t="s">
        <v>19</v>
      </c>
      <c r="K27" s="41" t="s">
        <v>20</v>
      </c>
      <c r="L27" s="11" t="s">
        <v>137</v>
      </c>
    </row>
    <row r="28" spans="1:12" ht="18" customHeight="1" x14ac:dyDescent="0.25">
      <c r="A28" s="2">
        <v>25</v>
      </c>
      <c r="B28" s="38" t="s">
        <v>138</v>
      </c>
      <c r="C28" s="4" t="s">
        <v>139</v>
      </c>
      <c r="D28" s="4" t="s">
        <v>126</v>
      </c>
      <c r="E28" s="4">
        <v>1377</v>
      </c>
      <c r="F28" s="4">
        <v>328</v>
      </c>
      <c r="G28" s="4">
        <v>4.28</v>
      </c>
      <c r="H28" s="4" t="s">
        <v>24</v>
      </c>
      <c r="I28" s="4" t="s">
        <v>132</v>
      </c>
      <c r="J28" s="4" t="s">
        <v>112</v>
      </c>
      <c r="K28" s="38" t="s">
        <v>133</v>
      </c>
      <c r="L28" s="4" t="s">
        <v>140</v>
      </c>
    </row>
    <row r="29" spans="1:12" ht="18" customHeight="1" x14ac:dyDescent="0.25">
      <c r="A29" s="10">
        <v>26</v>
      </c>
      <c r="B29" s="41" t="s">
        <v>141</v>
      </c>
      <c r="C29" s="11" t="s">
        <v>142</v>
      </c>
      <c r="D29" s="11" t="s">
        <v>126</v>
      </c>
      <c r="E29" s="11" t="s">
        <v>16</v>
      </c>
      <c r="F29" s="11">
        <v>448</v>
      </c>
      <c r="G29" s="11">
        <v>4.0999999999999996</v>
      </c>
      <c r="H29" s="11" t="s">
        <v>143</v>
      </c>
      <c r="I29" s="11" t="s">
        <v>127</v>
      </c>
      <c r="J29" s="11" t="s">
        <v>144</v>
      </c>
      <c r="K29" s="41" t="s">
        <v>145</v>
      </c>
      <c r="L29" s="11" t="s">
        <v>146</v>
      </c>
    </row>
    <row r="30" spans="1:12" ht="18" customHeight="1" x14ac:dyDescent="0.25">
      <c r="A30" s="2">
        <v>27</v>
      </c>
      <c r="B30" s="38" t="s">
        <v>147</v>
      </c>
      <c r="C30" s="4" t="s">
        <v>148</v>
      </c>
      <c r="D30" s="4" t="s">
        <v>126</v>
      </c>
      <c r="E30" s="4">
        <v>2015</v>
      </c>
      <c r="F30" s="4">
        <v>328</v>
      </c>
      <c r="G30" s="4">
        <v>4.28</v>
      </c>
      <c r="H30" s="4" t="s">
        <v>24</v>
      </c>
      <c r="I30" s="4" t="s">
        <v>149</v>
      </c>
      <c r="J30" s="4" t="s">
        <v>112</v>
      </c>
      <c r="K30" s="45">
        <v>2015</v>
      </c>
      <c r="L30" s="4" t="s">
        <v>150</v>
      </c>
    </row>
    <row r="31" spans="1:12" ht="18" customHeight="1" x14ac:dyDescent="0.25">
      <c r="A31" s="12">
        <v>28</v>
      </c>
      <c r="B31" s="42" t="s">
        <v>151</v>
      </c>
      <c r="C31" s="13" t="s">
        <v>152</v>
      </c>
      <c r="D31" s="13" t="s">
        <v>153</v>
      </c>
      <c r="E31" s="13">
        <v>2011</v>
      </c>
      <c r="F31" s="13">
        <v>448</v>
      </c>
      <c r="G31" s="13">
        <v>4.0999999999999996</v>
      </c>
      <c r="H31" s="13" t="s">
        <v>24</v>
      </c>
      <c r="I31" s="13" t="s">
        <v>154</v>
      </c>
      <c r="J31" s="13" t="s">
        <v>19</v>
      </c>
      <c r="K31" s="42" t="s">
        <v>20</v>
      </c>
      <c r="L31" s="13" t="s">
        <v>155</v>
      </c>
    </row>
    <row r="32" spans="1:12" ht="18" customHeight="1" x14ac:dyDescent="0.25">
      <c r="A32" s="2">
        <v>29</v>
      </c>
      <c r="B32" s="38" t="s">
        <v>156</v>
      </c>
      <c r="C32" s="4" t="s">
        <v>157</v>
      </c>
      <c r="D32" s="4" t="s">
        <v>158</v>
      </c>
      <c r="E32" s="4" t="s">
        <v>16</v>
      </c>
      <c r="F32" s="4">
        <v>604</v>
      </c>
      <c r="G32" s="4">
        <v>4.99</v>
      </c>
      <c r="H32" s="4" t="s">
        <v>143</v>
      </c>
      <c r="I32" s="4" t="s">
        <v>159</v>
      </c>
      <c r="J32" s="4" t="s">
        <v>160</v>
      </c>
      <c r="K32" s="38" t="s">
        <v>161</v>
      </c>
      <c r="L32" s="4" t="s">
        <v>162</v>
      </c>
    </row>
    <row r="33" spans="1:12" ht="18" customHeight="1" x14ac:dyDescent="0.25">
      <c r="A33" s="14">
        <v>30</v>
      </c>
      <c r="B33" s="43" t="s">
        <v>163</v>
      </c>
      <c r="C33" s="15" t="s">
        <v>164</v>
      </c>
      <c r="D33" s="15" t="s">
        <v>158</v>
      </c>
      <c r="E33" s="15">
        <v>1967</v>
      </c>
      <c r="F33" s="15">
        <v>384</v>
      </c>
      <c r="G33" s="15">
        <v>4.28</v>
      </c>
      <c r="H33" s="15" t="s">
        <v>24</v>
      </c>
      <c r="I33" s="15" t="s">
        <v>165</v>
      </c>
      <c r="J33" s="15" t="s">
        <v>166</v>
      </c>
      <c r="K33" s="43" t="s">
        <v>167</v>
      </c>
      <c r="L33" s="15" t="s">
        <v>168</v>
      </c>
    </row>
    <row r="34" spans="1:12" ht="18" customHeight="1" x14ac:dyDescent="0.25">
      <c r="A34" s="2">
        <v>31</v>
      </c>
      <c r="B34" s="38" t="s">
        <v>169</v>
      </c>
      <c r="C34" s="4" t="s">
        <v>170</v>
      </c>
      <c r="D34" s="4" t="s">
        <v>158</v>
      </c>
      <c r="E34" s="4">
        <v>1980</v>
      </c>
      <c r="F34" s="4">
        <v>270</v>
      </c>
      <c r="G34" s="4">
        <v>4.3</v>
      </c>
      <c r="H34" s="4" t="s">
        <v>24</v>
      </c>
      <c r="I34" s="4" t="s">
        <v>127</v>
      </c>
      <c r="J34" s="4" t="s">
        <v>19</v>
      </c>
      <c r="K34" s="38" t="s">
        <v>171</v>
      </c>
      <c r="L34" s="4" t="s">
        <v>172</v>
      </c>
    </row>
    <row r="35" spans="1:12" ht="18" customHeight="1" x14ac:dyDescent="0.25">
      <c r="A35" s="14">
        <v>32</v>
      </c>
      <c r="B35" s="43" t="s">
        <v>173</v>
      </c>
      <c r="C35" s="15" t="s">
        <v>174</v>
      </c>
      <c r="D35" s="15" t="s">
        <v>158</v>
      </c>
      <c r="E35" s="15" t="s">
        <v>16</v>
      </c>
      <c r="F35" s="15">
        <v>532</v>
      </c>
      <c r="G35" s="15">
        <v>4.1399999999999997</v>
      </c>
      <c r="H35" s="15" t="s">
        <v>24</v>
      </c>
      <c r="I35" s="15" t="s">
        <v>175</v>
      </c>
      <c r="J35" s="15" t="s">
        <v>176</v>
      </c>
      <c r="K35" s="43" t="s">
        <v>177</v>
      </c>
      <c r="L35" s="15" t="s">
        <v>178</v>
      </c>
    </row>
    <row r="36" spans="1:12" ht="18" customHeight="1" x14ac:dyDescent="0.25">
      <c r="A36" s="2">
        <v>33</v>
      </c>
      <c r="B36" s="38" t="s">
        <v>179</v>
      </c>
      <c r="C36" s="4" t="s">
        <v>180</v>
      </c>
      <c r="D36" s="4" t="s">
        <v>158</v>
      </c>
      <c r="E36" s="4" t="s">
        <v>16</v>
      </c>
      <c r="F36" s="4">
        <v>404</v>
      </c>
      <c r="G36" s="4">
        <v>4.01</v>
      </c>
      <c r="H36" s="4" t="s">
        <v>24</v>
      </c>
      <c r="I36" s="4" t="s">
        <v>181</v>
      </c>
      <c r="J36" s="4" t="s">
        <v>182</v>
      </c>
      <c r="K36" s="38" t="s">
        <v>183</v>
      </c>
      <c r="L36" s="4" t="s">
        <v>184</v>
      </c>
    </row>
    <row r="37" spans="1:12" ht="18" customHeight="1" x14ac:dyDescent="0.25">
      <c r="A37" s="14">
        <v>34</v>
      </c>
      <c r="B37" s="43" t="s">
        <v>185</v>
      </c>
      <c r="C37" s="15" t="s">
        <v>186</v>
      </c>
      <c r="D37" s="15" t="s">
        <v>158</v>
      </c>
      <c r="E37" s="15">
        <v>1973</v>
      </c>
      <c r="F37" s="15">
        <v>328</v>
      </c>
      <c r="G37" s="15">
        <v>4.28</v>
      </c>
      <c r="H37" s="15" t="s">
        <v>24</v>
      </c>
      <c r="I37" s="15" t="s">
        <v>117</v>
      </c>
      <c r="J37" s="15" t="s">
        <v>112</v>
      </c>
      <c r="K37" s="43">
        <v>1973</v>
      </c>
      <c r="L37" s="15" t="s">
        <v>187</v>
      </c>
    </row>
    <row r="38" spans="1:12" ht="18" customHeight="1" x14ac:dyDescent="0.25">
      <c r="A38" s="2">
        <v>35</v>
      </c>
      <c r="B38" s="38" t="s">
        <v>188</v>
      </c>
      <c r="C38" s="4" t="s">
        <v>189</v>
      </c>
      <c r="D38" s="4" t="s">
        <v>190</v>
      </c>
      <c r="E38" s="4">
        <v>1999</v>
      </c>
      <c r="F38" s="4">
        <v>464</v>
      </c>
      <c r="G38" s="4">
        <v>4.0999999999999996</v>
      </c>
      <c r="H38" s="4" t="s">
        <v>24</v>
      </c>
      <c r="I38" s="4" t="s">
        <v>191</v>
      </c>
      <c r="J38" s="4" t="s">
        <v>19</v>
      </c>
      <c r="K38" s="38" t="s">
        <v>192</v>
      </c>
      <c r="L38" s="4" t="s">
        <v>193</v>
      </c>
    </row>
    <row r="39" spans="1:12" ht="18" customHeight="1" x14ac:dyDescent="0.25">
      <c r="A39" s="16">
        <v>36</v>
      </c>
      <c r="B39" s="44" t="s">
        <v>194</v>
      </c>
      <c r="C39" s="17" t="s">
        <v>195</v>
      </c>
      <c r="D39" s="17" t="s">
        <v>190</v>
      </c>
      <c r="E39" s="17">
        <v>2005</v>
      </c>
      <c r="F39" s="17">
        <v>304</v>
      </c>
      <c r="G39" s="17">
        <v>3.55</v>
      </c>
      <c r="H39" s="17" t="s">
        <v>24</v>
      </c>
      <c r="I39" s="17" t="s">
        <v>196</v>
      </c>
      <c r="J39" s="17" t="s">
        <v>197</v>
      </c>
      <c r="K39" s="44" t="s">
        <v>198</v>
      </c>
      <c r="L39" s="17" t="s">
        <v>199</v>
      </c>
    </row>
    <row r="40" spans="1:12" ht="18" customHeight="1" x14ac:dyDescent="0.25">
      <c r="A40" s="2">
        <v>37</v>
      </c>
      <c r="B40" s="38" t="s">
        <v>200</v>
      </c>
      <c r="C40" s="4" t="s">
        <v>201</v>
      </c>
      <c r="D40" s="4" t="s">
        <v>190</v>
      </c>
      <c r="E40" s="4">
        <v>1859</v>
      </c>
      <c r="F40" s="4">
        <v>502</v>
      </c>
      <c r="G40" s="4">
        <v>4.01</v>
      </c>
      <c r="H40" s="4" t="s">
        <v>24</v>
      </c>
      <c r="I40" s="4" t="s">
        <v>202</v>
      </c>
      <c r="J40" s="4" t="s">
        <v>203</v>
      </c>
      <c r="K40" s="38" t="s">
        <v>204</v>
      </c>
      <c r="L40" s="4" t="s">
        <v>205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sqref="A1:F1"/>
    </sheetView>
  </sheetViews>
  <sheetFormatPr defaultRowHeight="15" x14ac:dyDescent="0.25"/>
  <cols>
    <col min="1" max="1" width="20" customWidth="1"/>
    <col min="2" max="2" width="10" customWidth="1"/>
    <col min="3" max="5" width="12" customWidth="1"/>
    <col min="6" max="6" width="30" customWidth="1"/>
  </cols>
  <sheetData>
    <row r="1" spans="1:6" ht="32.1" customHeight="1" x14ac:dyDescent="0.25">
      <c r="A1" s="37" t="s">
        <v>206</v>
      </c>
      <c r="B1" s="35"/>
      <c r="C1" s="35"/>
      <c r="D1" s="35"/>
      <c r="E1" s="35"/>
      <c r="F1" s="35"/>
    </row>
    <row r="3" spans="1:6" ht="24" customHeight="1" x14ac:dyDescent="0.25">
      <c r="A3" s="18" t="s">
        <v>4</v>
      </c>
      <c r="B3" s="18" t="s">
        <v>207</v>
      </c>
      <c r="C3" s="18" t="s">
        <v>208</v>
      </c>
      <c r="D3" s="18" t="s">
        <v>209</v>
      </c>
      <c r="E3" s="18" t="s">
        <v>210</v>
      </c>
      <c r="F3" s="18" t="s">
        <v>211</v>
      </c>
    </row>
    <row r="4" spans="1:6" ht="20.100000000000001" customHeight="1" x14ac:dyDescent="0.25">
      <c r="A4" s="19" t="s">
        <v>15</v>
      </c>
      <c r="B4" s="20">
        <v>13</v>
      </c>
      <c r="C4" s="20">
        <v>4.17</v>
      </c>
      <c r="D4" s="20">
        <v>3.46</v>
      </c>
      <c r="E4" s="20">
        <v>4.99</v>
      </c>
      <c r="F4" s="19" t="s">
        <v>212</v>
      </c>
    </row>
    <row r="5" spans="1:6" ht="20.100000000000001" customHeight="1" x14ac:dyDescent="0.25">
      <c r="A5" s="21" t="s">
        <v>71</v>
      </c>
      <c r="B5" s="22">
        <v>8</v>
      </c>
      <c r="C5" s="22">
        <v>4.2699999999999996</v>
      </c>
      <c r="D5" s="22">
        <v>3.85</v>
      </c>
      <c r="E5" s="22">
        <v>4.9000000000000004</v>
      </c>
      <c r="F5" s="21" t="s">
        <v>24</v>
      </c>
    </row>
    <row r="6" spans="1:6" ht="20.100000000000001" customHeight="1" x14ac:dyDescent="0.25">
      <c r="A6" s="23" t="s">
        <v>126</v>
      </c>
      <c r="B6" s="24">
        <v>6</v>
      </c>
      <c r="C6" s="24">
        <v>4.3099999999999996</v>
      </c>
      <c r="D6" s="24">
        <v>4.0999999999999996</v>
      </c>
      <c r="E6" s="24">
        <v>4.8</v>
      </c>
      <c r="F6" s="23" t="s">
        <v>213</v>
      </c>
    </row>
    <row r="7" spans="1:6" ht="20.100000000000001" customHeight="1" x14ac:dyDescent="0.25">
      <c r="A7" s="25" t="s">
        <v>153</v>
      </c>
      <c r="B7" s="26">
        <v>1</v>
      </c>
      <c r="C7" s="26">
        <v>4.0999999999999996</v>
      </c>
      <c r="D7" s="26">
        <v>4.0999999999999996</v>
      </c>
      <c r="E7" s="26">
        <v>4.0999999999999996</v>
      </c>
      <c r="F7" s="25" t="s">
        <v>24</v>
      </c>
    </row>
    <row r="8" spans="1:6" ht="20.100000000000001" customHeight="1" x14ac:dyDescent="0.25">
      <c r="A8" s="27" t="s">
        <v>190</v>
      </c>
      <c r="B8" s="28">
        <v>3</v>
      </c>
      <c r="C8" s="28">
        <v>3.89</v>
      </c>
      <c r="D8" s="28">
        <v>3.55</v>
      </c>
      <c r="E8" s="28">
        <v>4.0999999999999996</v>
      </c>
      <c r="F8" s="27" t="s">
        <v>24</v>
      </c>
    </row>
    <row r="9" spans="1:6" ht="20.100000000000001" customHeight="1" x14ac:dyDescent="0.25">
      <c r="A9" s="29" t="s">
        <v>158</v>
      </c>
      <c r="B9" s="30">
        <v>6</v>
      </c>
      <c r="C9" s="30">
        <v>4.33</v>
      </c>
      <c r="D9" s="30">
        <v>4.01</v>
      </c>
      <c r="E9" s="30">
        <v>4.99</v>
      </c>
      <c r="F9" s="29" t="s">
        <v>213</v>
      </c>
    </row>
    <row r="10" spans="1:6" x14ac:dyDescent="0.25">
      <c r="A10" s="31" t="s">
        <v>214</v>
      </c>
      <c r="B10" s="32">
        <f>SUM(B4:B9)</f>
        <v>37</v>
      </c>
      <c r="C10" s="33"/>
      <c r="D10" s="33"/>
      <c r="E10" s="33"/>
      <c r="F10" s="33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"/>
  <sheetViews>
    <sheetView workbookViewId="0">
      <pane ySplit="3" topLeftCell="A8" activePane="bottomLeft" state="frozen"/>
      <selection pane="bottomLeft" sqref="A1:D1"/>
    </sheetView>
  </sheetViews>
  <sheetFormatPr defaultRowHeight="15" x14ac:dyDescent="0.25"/>
  <cols>
    <col min="1" max="1" width="5" customWidth="1"/>
    <col min="2" max="2" width="28" customWidth="1"/>
    <col min="3" max="3" width="44" customWidth="1"/>
    <col min="4" max="4" width="18" customWidth="1"/>
  </cols>
  <sheetData>
    <row r="1" spans="1:4" ht="32.1" customHeight="1" x14ac:dyDescent="0.25">
      <c r="A1" s="37" t="s">
        <v>215</v>
      </c>
      <c r="B1" s="35"/>
      <c r="C1" s="35"/>
      <c r="D1" s="35"/>
    </row>
    <row r="3" spans="1:4" ht="24" customHeight="1" x14ac:dyDescent="0.25">
      <c r="A3" s="18" t="s">
        <v>1</v>
      </c>
      <c r="B3" s="18" t="s">
        <v>3</v>
      </c>
      <c r="C3" s="18" t="s">
        <v>216</v>
      </c>
      <c r="D3" s="18" t="s">
        <v>4</v>
      </c>
    </row>
    <row r="4" spans="1:4" ht="20.100000000000001" customHeight="1" x14ac:dyDescent="0.25">
      <c r="A4" s="7">
        <v>1</v>
      </c>
      <c r="B4" s="6" t="s">
        <v>66</v>
      </c>
      <c r="C4" s="6" t="s">
        <v>65</v>
      </c>
      <c r="D4" s="6" t="s">
        <v>15</v>
      </c>
    </row>
    <row r="5" spans="1:4" ht="20.100000000000001" customHeight="1" x14ac:dyDescent="0.25">
      <c r="A5" s="4">
        <v>2</v>
      </c>
      <c r="B5" s="3" t="s">
        <v>142</v>
      </c>
      <c r="C5" s="3" t="s">
        <v>141</v>
      </c>
      <c r="D5" s="3" t="s">
        <v>126</v>
      </c>
    </row>
    <row r="6" spans="1:4" ht="20.100000000000001" customHeight="1" x14ac:dyDescent="0.25">
      <c r="A6" s="7">
        <v>3</v>
      </c>
      <c r="B6" s="6" t="s">
        <v>136</v>
      </c>
      <c r="C6" s="6" t="s">
        <v>135</v>
      </c>
      <c r="D6" s="6" t="s">
        <v>126</v>
      </c>
    </row>
    <row r="7" spans="1:4" ht="20.100000000000001" customHeight="1" x14ac:dyDescent="0.25">
      <c r="A7" s="4">
        <v>4</v>
      </c>
      <c r="B7" s="3" t="s">
        <v>157</v>
      </c>
      <c r="C7" s="3" t="s">
        <v>156</v>
      </c>
      <c r="D7" s="3" t="s">
        <v>158</v>
      </c>
    </row>
    <row r="8" spans="1:4" ht="20.100000000000001" customHeight="1" x14ac:dyDescent="0.25">
      <c r="A8" s="7">
        <v>5</v>
      </c>
      <c r="B8" s="6" t="s">
        <v>131</v>
      </c>
      <c r="C8" s="6" t="s">
        <v>130</v>
      </c>
      <c r="D8" s="6" t="s">
        <v>126</v>
      </c>
    </row>
    <row r="9" spans="1:4" ht="20.100000000000001" customHeight="1" x14ac:dyDescent="0.25">
      <c r="A9" s="4">
        <v>6</v>
      </c>
      <c r="B9" s="3" t="s">
        <v>105</v>
      </c>
      <c r="C9" s="3" t="s">
        <v>104</v>
      </c>
      <c r="D9" s="3" t="s">
        <v>71</v>
      </c>
    </row>
    <row r="10" spans="1:4" ht="20.100000000000001" customHeight="1" x14ac:dyDescent="0.25">
      <c r="A10" s="7">
        <v>7</v>
      </c>
      <c r="B10" s="6" t="s">
        <v>189</v>
      </c>
      <c r="C10" s="6" t="s">
        <v>188</v>
      </c>
      <c r="D10" s="6" t="s">
        <v>190</v>
      </c>
    </row>
    <row r="11" spans="1:4" ht="20.100000000000001" customHeight="1" x14ac:dyDescent="0.25">
      <c r="A11" s="4">
        <v>8</v>
      </c>
      <c r="B11" s="3" t="s">
        <v>201</v>
      </c>
      <c r="C11" s="3" t="s">
        <v>200</v>
      </c>
      <c r="D11" s="3" t="s">
        <v>190</v>
      </c>
    </row>
    <row r="12" spans="1:4" ht="20.100000000000001" customHeight="1" x14ac:dyDescent="0.25">
      <c r="A12" s="7">
        <v>9</v>
      </c>
      <c r="B12" s="6" t="s">
        <v>41</v>
      </c>
      <c r="C12" s="6" t="s">
        <v>217</v>
      </c>
      <c r="D12" s="6" t="s">
        <v>15</v>
      </c>
    </row>
    <row r="13" spans="1:4" ht="20.100000000000001" customHeight="1" x14ac:dyDescent="0.25">
      <c r="A13" s="4">
        <v>10</v>
      </c>
      <c r="B13" s="3" t="s">
        <v>56</v>
      </c>
      <c r="C13" s="3" t="s">
        <v>55</v>
      </c>
      <c r="D13" s="3" t="s">
        <v>15</v>
      </c>
    </row>
    <row r="14" spans="1:4" ht="20.100000000000001" customHeight="1" x14ac:dyDescent="0.25">
      <c r="A14" s="7">
        <v>11</v>
      </c>
      <c r="B14" s="6" t="s">
        <v>86</v>
      </c>
      <c r="C14" s="6" t="s">
        <v>85</v>
      </c>
      <c r="D14" s="6" t="s">
        <v>15</v>
      </c>
    </row>
    <row r="15" spans="1:4" ht="20.100000000000001" customHeight="1" x14ac:dyDescent="0.25">
      <c r="A15" s="4">
        <v>12</v>
      </c>
      <c r="B15" s="3" t="s">
        <v>35</v>
      </c>
      <c r="C15" s="3" t="s">
        <v>34</v>
      </c>
      <c r="D15" s="3" t="s">
        <v>15</v>
      </c>
    </row>
    <row r="16" spans="1:4" ht="20.100000000000001" customHeight="1" x14ac:dyDescent="0.25">
      <c r="A16" s="7">
        <v>13</v>
      </c>
      <c r="B16" s="6" t="s">
        <v>180</v>
      </c>
      <c r="C16" s="6" t="s">
        <v>179</v>
      </c>
      <c r="D16" s="6" t="s">
        <v>158</v>
      </c>
    </row>
    <row r="17" spans="1:4" ht="20.100000000000001" customHeight="1" x14ac:dyDescent="0.25">
      <c r="A17" s="4">
        <v>14</v>
      </c>
      <c r="B17" s="3" t="s">
        <v>186</v>
      </c>
      <c r="C17" s="3" t="s">
        <v>185</v>
      </c>
      <c r="D17" s="3" t="s">
        <v>158</v>
      </c>
    </row>
    <row r="18" spans="1:4" ht="20.100000000000001" customHeight="1" x14ac:dyDescent="0.25">
      <c r="A18" s="7">
        <v>15</v>
      </c>
      <c r="B18" s="6" t="s">
        <v>23</v>
      </c>
      <c r="C18" s="6" t="s">
        <v>22</v>
      </c>
      <c r="D18" s="6" t="s">
        <v>15</v>
      </c>
    </row>
    <row r="19" spans="1:4" ht="20.100000000000001" customHeight="1" x14ac:dyDescent="0.25">
      <c r="A19" s="4">
        <v>16</v>
      </c>
      <c r="B19" s="3" t="s">
        <v>139</v>
      </c>
      <c r="C19" s="3" t="s">
        <v>138</v>
      </c>
      <c r="D19" s="3" t="s">
        <v>126</v>
      </c>
    </row>
    <row r="20" spans="1:4" ht="20.100000000000001" customHeight="1" x14ac:dyDescent="0.25">
      <c r="A20" s="7">
        <v>17</v>
      </c>
      <c r="B20" s="6" t="s">
        <v>152</v>
      </c>
      <c r="C20" s="6" t="s">
        <v>151</v>
      </c>
      <c r="D20" s="6" t="s">
        <v>153</v>
      </c>
    </row>
    <row r="21" spans="1:4" ht="20.100000000000001" customHeight="1" x14ac:dyDescent="0.25">
      <c r="A21" s="4">
        <v>18</v>
      </c>
      <c r="B21" s="3" t="s">
        <v>110</v>
      </c>
      <c r="C21" s="3" t="s">
        <v>109</v>
      </c>
      <c r="D21" s="3" t="s">
        <v>71</v>
      </c>
    </row>
    <row r="22" spans="1:4" ht="20.100000000000001" customHeight="1" x14ac:dyDescent="0.25">
      <c r="A22" s="7">
        <v>19</v>
      </c>
      <c r="B22" s="6" t="s">
        <v>102</v>
      </c>
      <c r="C22" s="6" t="s">
        <v>101</v>
      </c>
      <c r="D22" s="6" t="s">
        <v>71</v>
      </c>
    </row>
    <row r="23" spans="1:4" ht="20.100000000000001" customHeight="1" x14ac:dyDescent="0.25">
      <c r="A23" s="4">
        <v>20</v>
      </c>
      <c r="B23" s="3" t="s">
        <v>195</v>
      </c>
      <c r="C23" s="3" t="s">
        <v>194</v>
      </c>
      <c r="D23" s="3" t="s">
        <v>190</v>
      </c>
    </row>
    <row r="24" spans="1:4" ht="20.100000000000001" customHeight="1" x14ac:dyDescent="0.25">
      <c r="A24" s="7">
        <v>21</v>
      </c>
      <c r="B24" s="6" t="s">
        <v>75</v>
      </c>
      <c r="C24" s="6" t="s">
        <v>74</v>
      </c>
      <c r="D24" s="6" t="s">
        <v>15</v>
      </c>
    </row>
    <row r="25" spans="1:4" ht="20.100000000000001" customHeight="1" x14ac:dyDescent="0.25">
      <c r="A25" s="4">
        <v>22</v>
      </c>
      <c r="B25" s="3" t="s">
        <v>30</v>
      </c>
      <c r="C25" s="3" t="s">
        <v>29</v>
      </c>
      <c r="D25" s="3" t="s">
        <v>15</v>
      </c>
    </row>
    <row r="26" spans="1:4" ht="20.100000000000001" customHeight="1" x14ac:dyDescent="0.25">
      <c r="A26" s="7">
        <v>23</v>
      </c>
      <c r="B26" s="6" t="s">
        <v>60</v>
      </c>
      <c r="C26" s="6" t="s">
        <v>59</v>
      </c>
      <c r="D26" s="6" t="s">
        <v>15</v>
      </c>
    </row>
    <row r="27" spans="1:4" ht="20.100000000000001" customHeight="1" x14ac:dyDescent="0.25">
      <c r="A27" s="4">
        <v>24</v>
      </c>
      <c r="B27" s="3" t="s">
        <v>148</v>
      </c>
      <c r="C27" s="3" t="s">
        <v>147</v>
      </c>
      <c r="D27" s="3" t="s">
        <v>126</v>
      </c>
    </row>
    <row r="28" spans="1:4" ht="20.100000000000001" customHeight="1" x14ac:dyDescent="0.25">
      <c r="A28" s="7">
        <v>25</v>
      </c>
      <c r="B28" s="6" t="s">
        <v>164</v>
      </c>
      <c r="C28" s="6" t="s">
        <v>163</v>
      </c>
      <c r="D28" s="6" t="s">
        <v>158</v>
      </c>
    </row>
    <row r="29" spans="1:4" ht="20.100000000000001" customHeight="1" x14ac:dyDescent="0.25">
      <c r="A29" s="4">
        <v>26</v>
      </c>
      <c r="B29" s="3" t="s">
        <v>46</v>
      </c>
      <c r="C29" s="3" t="s">
        <v>45</v>
      </c>
      <c r="D29" s="3" t="s">
        <v>15</v>
      </c>
    </row>
    <row r="30" spans="1:4" ht="20.100000000000001" customHeight="1" x14ac:dyDescent="0.25">
      <c r="A30" s="7">
        <v>27</v>
      </c>
      <c r="B30" s="6" t="s">
        <v>14</v>
      </c>
      <c r="C30" s="6" t="s">
        <v>13</v>
      </c>
      <c r="D30" s="6" t="s">
        <v>15</v>
      </c>
    </row>
    <row r="31" spans="1:4" ht="20.100000000000001" customHeight="1" x14ac:dyDescent="0.25">
      <c r="A31" s="4">
        <v>28</v>
      </c>
      <c r="B31" s="3" t="s">
        <v>170</v>
      </c>
      <c r="C31" s="3" t="s">
        <v>169</v>
      </c>
      <c r="D31" s="3" t="s">
        <v>158</v>
      </c>
    </row>
    <row r="32" spans="1:4" ht="20.100000000000001" customHeight="1" x14ac:dyDescent="0.25">
      <c r="A32" s="7">
        <v>29</v>
      </c>
      <c r="B32" s="6" t="s">
        <v>121</v>
      </c>
      <c r="C32" s="6" t="s">
        <v>120</v>
      </c>
      <c r="D32" s="6" t="s">
        <v>71</v>
      </c>
    </row>
    <row r="33" spans="1:4" ht="20.100000000000001" customHeight="1" x14ac:dyDescent="0.25">
      <c r="A33" s="4">
        <v>30</v>
      </c>
      <c r="B33" s="3" t="s">
        <v>90</v>
      </c>
      <c r="C33" s="3" t="s">
        <v>89</v>
      </c>
      <c r="D33" s="3" t="s">
        <v>71</v>
      </c>
    </row>
    <row r="34" spans="1:4" ht="20.100000000000001" customHeight="1" x14ac:dyDescent="0.25">
      <c r="A34" s="7">
        <v>31</v>
      </c>
      <c r="B34" s="6" t="s">
        <v>174</v>
      </c>
      <c r="C34" s="6" t="s">
        <v>173</v>
      </c>
      <c r="D34" s="6" t="s">
        <v>158</v>
      </c>
    </row>
    <row r="35" spans="1:4" ht="20.100000000000001" customHeight="1" x14ac:dyDescent="0.25">
      <c r="A35" s="4">
        <v>32</v>
      </c>
      <c r="B35" s="3" t="s">
        <v>96</v>
      </c>
      <c r="C35" s="3" t="s">
        <v>95</v>
      </c>
      <c r="D35" s="3" t="s">
        <v>71</v>
      </c>
    </row>
    <row r="36" spans="1:4" ht="20.100000000000001" customHeight="1" x14ac:dyDescent="0.25">
      <c r="A36" s="7">
        <v>33</v>
      </c>
      <c r="B36" s="6" t="s">
        <v>116</v>
      </c>
      <c r="C36" s="6" t="s">
        <v>115</v>
      </c>
      <c r="D36" s="6" t="s">
        <v>71</v>
      </c>
    </row>
    <row r="37" spans="1:4" ht="20.100000000000001" customHeight="1" x14ac:dyDescent="0.25">
      <c r="A37" s="4">
        <v>34</v>
      </c>
      <c r="B37" s="3" t="s">
        <v>125</v>
      </c>
      <c r="C37" s="3" t="s">
        <v>124</v>
      </c>
      <c r="D37" s="3" t="s">
        <v>126</v>
      </c>
    </row>
    <row r="38" spans="1:4" ht="20.100000000000001" customHeight="1" x14ac:dyDescent="0.25">
      <c r="A38" s="7">
        <v>35</v>
      </c>
      <c r="B38" s="6" t="s">
        <v>70</v>
      </c>
      <c r="C38" s="6" t="s">
        <v>69</v>
      </c>
      <c r="D38" s="6" t="s">
        <v>71</v>
      </c>
    </row>
    <row r="39" spans="1:4" ht="20.100000000000001" customHeight="1" x14ac:dyDescent="0.25">
      <c r="A39" s="4">
        <v>36</v>
      </c>
      <c r="B39" s="3" t="s">
        <v>80</v>
      </c>
      <c r="C39" s="3" t="s">
        <v>79</v>
      </c>
      <c r="D39" s="3" t="s">
        <v>15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📚 Book Catalogue</vt:lpstr>
      <vt:lpstr>📊 Category Summary</vt:lpstr>
      <vt:lpstr>👤 Authors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25-CS-05</cp:lastModifiedBy>
  <dcterms:created xsi:type="dcterms:W3CDTF">2026-03-10T15:42:06Z</dcterms:created>
  <dcterms:modified xsi:type="dcterms:W3CDTF">2026-03-10T15:50:23Z</dcterms:modified>
</cp:coreProperties>
</file>